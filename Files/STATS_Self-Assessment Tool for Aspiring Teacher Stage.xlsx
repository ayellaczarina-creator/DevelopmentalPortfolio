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https://d.docs.live.net/17098c925d79e881/"/>
    </mc:Choice>
  </mc:AlternateContent>
  <xr:revisionPtr revIDLastSave="0" documentId="8_{A20D22E5-83E4-47F0-9CE9-FBEF3B9D0125}" xr6:coauthVersionLast="47" xr6:coauthVersionMax="47" xr10:uidLastSave="{00000000-0000-0000-0000-000000000000}"/>
  <bookViews>
    <workbookView xWindow="-110" yWindow="-110" windowWidth="19420" windowHeight="10300" xr2:uid="{3D198358-CE73-0447-8C37-8179DC833CCB}"/>
  </bookViews>
  <sheets>
    <sheet name="Introduction" sheetId="1" r:id="rId1"/>
    <sheet name="STATS" sheetId="2" r:id="rId2"/>
    <sheet name="Summary and Interpretation" sheetId="3" r:id="rId3"/>
  </sheets>
  <definedNames>
    <definedName name="_xlnm.Print_Area" localSheetId="0">Introduction!$A$1:$D$18</definedName>
    <definedName name="_xlnm.Print_Area" localSheetId="1">STATS!$A$1:$G$29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B2" i="3"/>
  <c r="B13" i="3"/>
  <c r="C11" i="3"/>
  <c r="D11" i="3"/>
  <c r="E11" i="3"/>
  <c r="C12" i="3"/>
  <c r="D12" i="3"/>
  <c r="E12" i="3"/>
  <c r="C13" i="3"/>
  <c r="D13" i="3"/>
  <c r="E13" i="3"/>
  <c r="B12" i="3"/>
  <c r="B11" i="3"/>
  <c r="C10" i="3"/>
  <c r="D10" i="3"/>
  <c r="E10" i="3"/>
  <c r="B10" i="3"/>
  <c r="C9" i="3"/>
  <c r="D9" i="3"/>
  <c r="E9" i="3"/>
  <c r="B9" i="3"/>
  <c r="B14" i="3" l="1"/>
  <c r="B15" i="3" s="1"/>
  <c r="C14" i="3"/>
  <c r="C15" i="3" s="1"/>
  <c r="E14" i="3"/>
  <c r="E15" i="3" s="1"/>
  <c r="D14" i="3"/>
  <c r="D15" i="3" s="1"/>
  <c r="B16" i="3" l="1"/>
  <c r="B17" i="3" s="1"/>
  <c r="B18" i="3" s="1"/>
</calcChain>
</file>

<file path=xl/sharedStrings.xml><?xml version="1.0" encoding="utf-8"?>
<sst xmlns="http://schemas.openxmlformats.org/spreadsheetml/2006/main" count="68" uniqueCount="60">
  <si>
    <t>Self-Assessment Tool for Aspiring Teacher Stage (STATS)</t>
  </si>
  <si>
    <t>Introduction</t>
  </si>
  <si>
    <t>To support your professional growth as pre-service teachers (PSTs), this self-assessment tool enables you to reflect on your development across PNU's five institutional outcomes. Each indicator is rated on a 4-point scale, with a maximum possible score of 64 points. Based on the total score, as an aspiring teacher, you can be classified into one of four developmental stages, each representing a phase in your journey toward becoming future-ready educator.</t>
  </si>
  <si>
    <t>Rating Scale, Description, and Interpretation</t>
  </si>
  <si>
    <t>Score</t>
  </si>
  <si>
    <t>Description</t>
  </si>
  <si>
    <t>Interpretation</t>
  </si>
  <si>
    <t>Not Yet Demonstrated</t>
  </si>
  <si>
    <t xml:space="preserve">I am still developing my understanding and ability to apply this in my practice. I seldom demonstrate this behavior or competency. </t>
  </si>
  <si>
    <t>Occasionally Demonstrated</t>
  </si>
  <si>
    <t xml:space="preserve">I show this sometimes, but I need more practice or clarity in applying it. I sometimes show this behavior or competency, but not consistently. 
</t>
  </si>
  <si>
    <t>Often Demonstrated</t>
  </si>
  <si>
    <t>I apply this in most situations, but not consistently. I usually demonstrate this behavior or competency.</t>
  </si>
  <si>
    <t>Consistently Demonstrated</t>
  </si>
  <si>
    <t xml:space="preserve">I consistently apply or embody this in my academic and teaching-related activities. I regularly demonstrate this behavior or competency. </t>
  </si>
  <si>
    <t>You are still discovering what it means to be a future teacher. It’s normal to feel uncertain. At this stage, ask questions, seek guidance, and reflect on why you want to teach.</t>
  </si>
  <si>
    <t>You are starting to connect with the teaching profession. You show growing interest and awareness of your role. Keep building confidence, learning from experiences, and clarifying your purpose.</t>
  </si>
  <si>
    <t>You are consistently engaged and committed to becoming a teacher. You show responsibility, creativity, and openness to growth. Use this stage to set goals and keep strengthening your skills.</t>
  </si>
  <si>
    <t>You show strong alignment with the values and mindset of teaching. You demonstrate leadership, ethical awareness, and readiness to contribute to others’ growth. You are preparing with clear purpose for your future career.</t>
  </si>
  <si>
    <t>Name</t>
  </si>
  <si>
    <t>Year and Section</t>
  </si>
  <si>
    <r>
      <rPr>
        <b/>
        <sz val="16"/>
        <color theme="1"/>
        <rFont val="Aptos Narrow (Body)"/>
      </rPr>
      <t>Introduction to the Self-Assessment Tool for Aspiring Teachers</t>
    </r>
    <r>
      <rPr>
        <sz val="12"/>
        <color theme="1"/>
        <rFont val="Aptos Narrow"/>
        <family val="2"/>
        <scheme val="minor"/>
      </rPr>
      <t xml:space="preserve">
This self-assessment tool is designed to help you reflect on your growth and development as a future educator, guided by the PNU's institutional outcomes for aspiring teachers. As you engage with this tool, you are encouraged to evaluate your current competencies and identify areas for improvement.
The tool covers five key institutional outcomes essential to becoming a future-ready teacher:
Digital Literate and Data-Driven Decision Maker – your ability to use digital tools effectively and ethically.
Design Thinker and Innovator – your capacity for creativity and innovative problem-solving.
Discerning and Compassionate Person – your empathy, ethical judgment, and interpersonal sensitivity.
Dynamic Lifelong Learner and Leader – your initiative in learning and leadership, both individually and collaboratively.
Deeply-Rooted Global Citizen – your awareness of and responsiveness to global and local social issues.
For each indicator, you will rate yourself using the scale provided (1 to 4) and cite evidence that supports your self-rating. This can include specific projects, learning experiences, courseworks, or behaviors that demonstrate your development in that area.
This process is an opportunity for honest reflection, growth, and professional readiness. Use this assessment as a personal roadmap to track your progress to become a professional teacher.
</t>
    </r>
  </si>
  <si>
    <t>Institutional Outcomes For Aspiring Teachers</t>
  </si>
  <si>
    <t>Indicators</t>
  </si>
  <si>
    <t>Self-Rating</t>
  </si>
  <si>
    <r>
      <rPr>
        <b/>
        <sz val="14"/>
        <color theme="1"/>
        <rFont val="Aptos Narrow"/>
        <scheme val="minor"/>
      </rPr>
      <t xml:space="preserve">Digital Literate and Data-Driven Decision Maker   </t>
    </r>
    <r>
      <rPr>
        <sz val="14"/>
        <color theme="1"/>
        <rFont val="Aptos Narrow"/>
        <scheme val="minor"/>
      </rPr>
      <t xml:space="preserve">                            
[Acquire basic understanding of digital tools and data usage]</t>
    </r>
  </si>
  <si>
    <t>1. I have used basic digital tools (e.g., Word, Excel, learning platforms) to complete my GE coursework, submitting at least 90% of outputs on time with at least a satisfactory rating.</t>
  </si>
  <si>
    <t>2. I have presented my outputs in an organized, purposeful and meaningful way across my GE courses, meeting the agreed criteria and achieving at least a satisfactory rating.</t>
  </si>
  <si>
    <t>3. I have demonstrated responsible and ethical use of digital platforms (e.g., online forums, cloud storage, social media) for collaboration in my GE courses, upholding academic integrity and meeting the agreed criteria.</t>
  </si>
  <si>
    <t>4. I have reflected on how my use of data and digital tools has contributed to my professional identity and competence, and how these experiences have shaped my future-ready teaching practices, by preparing portfolio entries throughout the academic year, meeting the agreed criteria.</t>
  </si>
  <si>
    <r>
      <rPr>
        <b/>
        <sz val="14"/>
        <color theme="1"/>
        <rFont val="Aptos Narrow"/>
        <scheme val="minor"/>
      </rPr>
      <t>Design Thinker and Innovator</t>
    </r>
    <r>
      <rPr>
        <sz val="14"/>
        <color theme="1"/>
        <rFont val="Aptos Narrow"/>
        <family val="2"/>
        <scheme val="minor"/>
      </rPr>
      <t xml:space="preserve">
[Shows creativity in problem-solving.]
</t>
    </r>
  </si>
  <si>
    <t>1. I have applied creative and critical thinking to solve at least two interdisciplinary or cross-GE problems, as shown in outputs or activities evaluated with at least a satisfactory rating.</t>
  </si>
  <si>
    <t>2. I have produced at least two original or adapted academic outputs (visual, multimedia, or models) in GE courses that show innovative and thoughtful design, meeting the agreed criteria and earning at least a satisfactory rating.</t>
  </si>
  <si>
    <t>3. I have reflected on how innovation enhances future teaching practices and learner engagement by preparing portfolio entries throughout the academic year, meeting the agreed criteria.</t>
  </si>
  <si>
    <r>
      <rPr>
        <b/>
        <sz val="14"/>
        <color theme="1"/>
        <rFont val="Aptos Narrow"/>
        <scheme val="minor"/>
      </rPr>
      <t>Discerning and Compassionate Person</t>
    </r>
    <r>
      <rPr>
        <sz val="14"/>
        <color theme="1"/>
        <rFont val="Aptos Narrow"/>
        <family val="2"/>
        <scheme val="minor"/>
      </rPr>
      <t xml:space="preserve">
[Demonstrates basic empathy and understanding.]</t>
    </r>
  </si>
  <si>
    <t>1. I have completed a self-assessment during the academic year reflecting on my thoughts, feelings, and academic journey with empathy, respect, and ethical judgment, covering my learning and experiences in my GE courses as evaluated through an agreed rubric.</t>
  </si>
  <si>
    <t>2. I have communicated my principles and ethical beliefs with respect and sensitivity in class discussions, group activities, and presentations, and documented these experiences in written outputs, earning at least a satisfactory rating.</t>
  </si>
  <si>
    <t>3. I have reflected on the role of compassion and discernment in becoming a responsible, future-ready teacher by preparing portfolio entries throughout the academic year, meeting the agreed criteria.</t>
  </si>
  <si>
    <r>
      <rPr>
        <b/>
        <sz val="14"/>
        <color theme="1"/>
        <rFont val="Aptos Narrow"/>
        <scheme val="minor"/>
      </rPr>
      <t>Dynamic Lifelong Learner and Leader</t>
    </r>
    <r>
      <rPr>
        <sz val="14"/>
        <color theme="1"/>
        <rFont val="Aptos Narrow"/>
        <family val="2"/>
        <scheme val="minor"/>
      </rPr>
      <t xml:space="preserve">
[Engages in self-directed learning.]
</t>
    </r>
  </si>
  <si>
    <t>1. I have set goals and sought learning opportunities to improve my personal and academic development by preparing and reviewing a personal development plan at the start, midyear, and end of the academic year, documenting at least two learning opportunities pursued.</t>
  </si>
  <si>
    <t>2. I have contributed to individual and group tasks, showing initiative and openness to feedback, as evaluated by peers or faculty each trimester with at least a satisfactory rating.</t>
  </si>
  <si>
    <t>3. I have reflected on how habits of continuous learning prepare me for the teaching profession by preparing portfolio entries throughout the academic year, meeting the agreed criteria.</t>
  </si>
  <si>
    <r>
      <rPr>
        <b/>
        <sz val="14"/>
        <color theme="1"/>
        <rFont val="Aptos Narrow"/>
        <scheme val="minor"/>
      </rPr>
      <t>Deeply-rooted Global Citizen</t>
    </r>
    <r>
      <rPr>
        <sz val="14"/>
        <color theme="1"/>
        <rFont val="Aptos Narrow"/>
        <family val="2"/>
        <scheme val="minor"/>
      </rPr>
      <t xml:space="preserve">
[Exhibit awareness of global issues.]</t>
    </r>
  </si>
  <si>
    <t>1. I have participated in global or intercultural activities, discussions, or projects in my GE courses, demonstrating respect for diverse systems, cultures, and issues as shown in rubric-based evaluations.</t>
  </si>
  <si>
    <t>2. I have demonstrated openness to diverse cultural and social perspectives by participating in community service or intercultural dialogues in my GE courses, as reflected in peer and faculty evaluations.</t>
  </si>
  <si>
    <t>3. I have reflected on how I embrace my responsibility of being globally aware and locally responsive in preparing for future teaching by preparing portfolio entries throughout the academic year, meeting the agreed criteria.</t>
  </si>
  <si>
    <r>
      <rPr>
        <b/>
        <sz val="12"/>
        <color theme="1"/>
        <rFont val="Aptos Narrow"/>
        <scheme val="minor"/>
      </rPr>
      <t>Elaborations:</t>
    </r>
    <r>
      <rPr>
        <sz val="12"/>
        <color theme="1"/>
        <rFont val="Aptos Narrow"/>
        <scheme val="minor"/>
      </rPr>
      <t xml:space="preserve">
1. </t>
    </r>
    <r>
      <rPr>
        <b/>
        <sz val="12"/>
        <color theme="1"/>
        <rFont val="Aptos Narrow"/>
        <scheme val="minor"/>
      </rPr>
      <t>Digital Literate and Data-Driven Decision Maker.</t>
    </r>
    <r>
      <rPr>
        <sz val="12"/>
        <color theme="1"/>
        <rFont val="Aptos Narrow"/>
        <scheme val="minor"/>
      </rPr>
      <t xml:space="preserve"> An aspiring teacher is aware of and practices basic digital and data literacy to support his/her learning and make informed decisions.
2. </t>
    </r>
    <r>
      <rPr>
        <b/>
        <sz val="12"/>
        <color theme="1"/>
        <rFont val="Aptos Narrow"/>
        <scheme val="minor"/>
      </rPr>
      <t>Design Thinker and Innovator.</t>
    </r>
    <r>
      <rPr>
        <sz val="12"/>
        <color theme="1"/>
        <rFont val="Aptos Narrow"/>
        <scheme val="minor"/>
      </rPr>
      <t xml:space="preserve"> An aspiring teacher embraces creativity and innovation in addressing challenges. S/he demonstrates understanding that designing solutions to problems needs integration across disciplinary perspectives.
3. </t>
    </r>
    <r>
      <rPr>
        <b/>
        <sz val="12"/>
        <color theme="1"/>
        <rFont val="Aptos Narrow"/>
        <scheme val="minor"/>
      </rPr>
      <t>Discerning and Compassionate Person.</t>
    </r>
    <r>
      <rPr>
        <sz val="12"/>
        <color theme="1"/>
        <rFont val="Aptos Narrow"/>
        <scheme val="minor"/>
      </rPr>
      <t xml:space="preserve"> An aspiring teacher understands and respects the dignity of others while practicing ethical and empathetic decision-making.
4. </t>
    </r>
    <r>
      <rPr>
        <b/>
        <sz val="12"/>
        <color theme="1"/>
        <rFont val="Aptos Narrow"/>
        <scheme val="minor"/>
      </rPr>
      <t>Dynamic Lifelong Learner and Leader.</t>
    </r>
    <r>
      <rPr>
        <sz val="12"/>
        <color theme="1"/>
        <rFont val="Aptos Narrow"/>
        <scheme val="minor"/>
      </rPr>
      <t xml:space="preserve"> An aspiring teacher seeks continuous learning, growth, and initiative in both academic, co-curricular, and professional environments and situations.
5. </t>
    </r>
    <r>
      <rPr>
        <b/>
        <sz val="12"/>
        <color theme="1"/>
        <rFont val="Aptos Narrow"/>
        <scheme val="minor"/>
      </rPr>
      <t>Deeply Rooted Global Citizen.</t>
    </r>
    <r>
      <rPr>
        <sz val="12"/>
        <color theme="1"/>
        <rFont val="Aptos Narrow"/>
        <scheme val="minor"/>
      </rPr>
      <t xml:space="preserve"> An aspiring teacher is aware of global-local interconnections and committed to inclusive and sustainable perspectives.</t>
    </r>
  </si>
  <si>
    <t>Summary of Scores and Interpretation</t>
  </si>
  <si>
    <t>The summary score is used to understand your current stage in the continuum of teacher development.This interpretation is meant to support your reflection and guide your personal and professional growth. It is intended not only as a scoring mechanism but also as a guide for your reflective growth and professional self-awareness as a pre-service teacher. The interpretation of scores should be approached as a developmental guidefor you rather than a summative judgment of your Year 1 career in the Unversity.</t>
  </si>
  <si>
    <t>Institutional Outcomes</t>
  </si>
  <si>
    <t>Weighted Scores</t>
  </si>
  <si>
    <t xml:space="preserve">Digital Literate and Data-Driven Decision Maker                  </t>
  </si>
  <si>
    <r>
      <rPr>
        <b/>
        <sz val="12"/>
        <color theme="1"/>
        <rFont val="Aptos Narrow"/>
        <scheme val="minor"/>
      </rPr>
      <t>Design Thinker and Innovator</t>
    </r>
    <r>
      <rPr>
        <sz val="12"/>
        <color theme="1"/>
        <rFont val="Aptos Narrow"/>
        <scheme val="minor"/>
      </rPr>
      <t xml:space="preserve">
</t>
    </r>
  </si>
  <si>
    <t>Discerning and Compassionate Person</t>
  </si>
  <si>
    <t>Dynamic Lifelong Learner and Leader</t>
  </si>
  <si>
    <t>Deeply-rooted Global Citizen</t>
  </si>
  <si>
    <t>Sub-total</t>
  </si>
  <si>
    <t>Weight</t>
  </si>
  <si>
    <t>Weighted Sum</t>
  </si>
  <si>
    <t>Aspiring Teacher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</si>
</sst>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b/>
      <sz val="12"/>
      <color rgb="FF000000"/>
      <name val="Aptos"/>
    </font>
    <font>
      <sz val="12"/>
      <color rgb="FF000000"/>
      <name val="Aptos"/>
    </font>
    <font>
      <b/>
      <sz val="16"/>
      <color theme="1"/>
      <name val="Aptos Narrow"/>
      <scheme val="minor"/>
    </font>
    <font>
      <b/>
      <sz val="20"/>
      <color theme="1"/>
      <name val="Aptos Narrow"/>
      <scheme val="minor"/>
    </font>
    <font>
      <sz val="20"/>
      <color theme="1"/>
      <name val="Aptos Narrow"/>
      <scheme val="minor"/>
    </font>
    <font>
      <b/>
      <sz val="12"/>
      <color theme="1"/>
      <name val="Aptos Narrow"/>
      <scheme val="minor"/>
    </font>
    <font>
      <b/>
      <sz val="14"/>
      <color theme="1"/>
      <name val="Aptos Narrow"/>
      <scheme val="minor"/>
    </font>
    <font>
      <b/>
      <sz val="18"/>
      <color theme="1"/>
      <name val="Aptos Narrow"/>
      <scheme val="minor"/>
    </font>
    <font>
      <b/>
      <sz val="24"/>
      <color theme="1"/>
      <name val="Aptos Narrow"/>
      <scheme val="minor"/>
    </font>
    <font>
      <sz val="12"/>
      <color theme="1"/>
      <name val="Aptos Narrow"/>
      <scheme val="minor"/>
    </font>
    <font>
      <sz val="14"/>
      <color theme="1"/>
      <name val="Aptos Narrow"/>
      <scheme val="minor"/>
    </font>
    <font>
      <sz val="14"/>
      <color theme="1"/>
      <name val="Aptos Narrow"/>
      <family val="2"/>
      <scheme val="minor"/>
    </font>
    <font>
      <b/>
      <sz val="16"/>
      <color theme="1"/>
      <name val="Aptos Narrow (Body)"/>
    </font>
    <font>
      <sz val="12"/>
      <color theme="0" tint="-0.34998626667073579"/>
      <name val="Aptos Narrow"/>
      <family val="2"/>
      <scheme val="minor"/>
    </font>
    <font>
      <sz val="12"/>
      <color theme="0" tint="-0.34998626667073579"/>
      <name val="Aptos"/>
    </font>
  </fonts>
  <fills count="9">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s>
  <borders count="28">
    <border>
      <left/>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style="hair">
        <color theme="1"/>
      </top>
      <bottom style="thin">
        <color theme="1"/>
      </bottom>
      <diagonal/>
    </border>
    <border>
      <left style="hair">
        <color theme="1"/>
      </left>
      <right/>
      <top style="hair">
        <color theme="1"/>
      </top>
      <bottom/>
      <diagonal/>
    </border>
    <border>
      <left style="thin">
        <color theme="1"/>
      </left>
      <right style="thin">
        <color theme="1"/>
      </right>
      <top style="thin">
        <color theme="1"/>
      </top>
      <bottom style="hair">
        <color theme="1"/>
      </bottom>
      <diagonal/>
    </border>
    <border>
      <left style="thin">
        <color theme="1"/>
      </left>
      <right style="thin">
        <color theme="1"/>
      </right>
      <top/>
      <bottom style="thin">
        <color theme="1"/>
      </bottom>
      <diagonal/>
    </border>
    <border>
      <left style="hair">
        <color theme="1"/>
      </left>
      <right style="thin">
        <color theme="1"/>
      </right>
      <top style="hair">
        <color theme="1"/>
      </top>
      <bottom style="thin">
        <color theme="1"/>
      </bottom>
      <diagonal/>
    </border>
    <border>
      <left style="hair">
        <color theme="1"/>
      </left>
      <right/>
      <top/>
      <bottom style="hair">
        <color theme="1"/>
      </bottom>
      <diagonal/>
    </border>
    <border>
      <left style="thin">
        <color theme="1"/>
      </left>
      <right style="thin">
        <color theme="1"/>
      </right>
      <top/>
      <bottom style="hair">
        <color theme="1"/>
      </bottom>
      <diagonal/>
    </border>
    <border>
      <left style="hair">
        <color theme="1"/>
      </left>
      <right style="thin">
        <color theme="1"/>
      </right>
      <top style="thin">
        <color theme="1"/>
      </top>
      <bottom style="hair">
        <color theme="1"/>
      </bottom>
      <diagonal/>
    </border>
    <border>
      <left/>
      <right style="thin">
        <color theme="1"/>
      </right>
      <top/>
      <bottom style="hair">
        <color theme="1"/>
      </bottom>
      <diagonal/>
    </border>
    <border>
      <left style="hair">
        <color theme="1"/>
      </left>
      <right style="thin">
        <color theme="1"/>
      </right>
      <top style="thin">
        <color theme="1"/>
      </top>
      <bottom/>
      <diagonal/>
    </border>
    <border>
      <left/>
      <right style="thin">
        <color theme="1"/>
      </right>
      <top/>
      <bottom/>
      <diagonal/>
    </border>
    <border>
      <left/>
      <right style="thin">
        <color theme="1"/>
      </right>
      <top/>
      <bottom style="thin">
        <color theme="1"/>
      </bottom>
      <diagonal/>
    </border>
    <border>
      <left/>
      <right style="thin">
        <color theme="1"/>
      </right>
      <top style="thin">
        <color theme="1"/>
      </top>
      <bottom style="hair">
        <color theme="1"/>
      </bottom>
      <diagonal/>
    </border>
    <border>
      <left/>
      <right style="thin">
        <color theme="1"/>
      </right>
      <top style="hair">
        <color theme="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style="thin">
        <color theme="1"/>
      </left>
      <right style="thin">
        <color theme="1"/>
      </right>
      <top/>
      <bottom/>
      <diagonal/>
    </border>
    <border>
      <left/>
      <right/>
      <top style="thin">
        <color theme="1"/>
      </top>
      <bottom/>
      <diagonal/>
    </border>
    <border>
      <left style="thin">
        <color theme="1"/>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Alignment="1">
      <alignment wrapText="1"/>
    </xf>
    <xf numFmtId="0" fontId="9" fillId="0" borderId="0" xfId="0" applyFont="1"/>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1" fillId="0" borderId="6"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14" fillId="0" borderId="0" xfId="0" applyFont="1" applyAlignment="1">
      <alignment wrapText="1"/>
    </xf>
    <xf numFmtId="0" fontId="15" fillId="0" borderId="0" xfId="0" applyFont="1"/>
    <xf numFmtId="0" fontId="14" fillId="0" borderId="0" xfId="0" applyFont="1"/>
    <xf numFmtId="0" fontId="6" fillId="0" borderId="3" xfId="0" applyFont="1" applyBorder="1" applyAlignment="1">
      <alignment horizontal="center" vertical="center" wrapText="1"/>
    </xf>
    <xf numFmtId="0" fontId="0" fillId="0" borderId="0" xfId="0" applyAlignment="1">
      <alignment vertical="top" wrapText="1"/>
    </xf>
    <xf numFmtId="0" fontId="2" fillId="0" borderId="2" xfId="0" applyFont="1" applyBorder="1" applyAlignment="1">
      <alignment vertical="top" wrapText="1"/>
    </xf>
    <xf numFmtId="0" fontId="0" fillId="0" borderId="2" xfId="0" applyBorder="1" applyAlignment="1">
      <alignment vertical="top" wrapText="1"/>
    </xf>
    <xf numFmtId="0" fontId="6" fillId="2" borderId="21" xfId="0" applyFont="1" applyFill="1" applyBorder="1" applyAlignment="1">
      <alignment horizontal="center" vertical="center" wrapText="1"/>
    </xf>
    <xf numFmtId="0" fontId="10" fillId="3" borderId="2" xfId="0" applyFont="1" applyFill="1" applyBorder="1" applyAlignment="1">
      <alignment horizontal="center" vertical="top" wrapText="1"/>
    </xf>
    <xf numFmtId="0" fontId="6"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0" borderId="27" xfId="0" applyFont="1" applyBorder="1" applyAlignment="1" applyProtection="1">
      <alignment horizontal="center"/>
      <protection hidden="1"/>
    </xf>
    <xf numFmtId="0" fontId="0" fillId="0" borderId="6" xfId="0" applyBorder="1" applyAlignment="1">
      <alignment horizontal="center" vertical="center" wrapText="1"/>
    </xf>
    <xf numFmtId="0" fontId="7" fillId="7" borderId="3" xfId="0" applyFont="1" applyFill="1" applyBorder="1" applyAlignment="1">
      <alignment horizontal="right"/>
    </xf>
    <xf numFmtId="0" fontId="7" fillId="8" borderId="3" xfId="0" applyFont="1" applyFill="1" applyBorder="1" applyAlignment="1">
      <alignment horizontal="right"/>
    </xf>
    <xf numFmtId="0" fontId="7" fillId="0" borderId="0" xfId="0" applyFont="1" applyAlignment="1">
      <alignment horizontal="right" vertical="center"/>
    </xf>
    <xf numFmtId="0" fontId="0" fillId="0" borderId="0" xfId="0" applyProtection="1">
      <protection hidden="1"/>
    </xf>
    <xf numFmtId="0" fontId="0" fillId="0" borderId="2" xfId="0" applyNumberFormat="1" applyBorder="1" applyAlignment="1" applyProtection="1">
      <alignment horizontal="center" vertical="center" wrapText="1"/>
      <protection hidden="1"/>
      <extLst>
        <ext xmlns:xfpb="http://schemas.microsoft.com/office/spreadsheetml/2022/featurepropertybag" uri="{C7286773-470A-42A8-94C5-96B5CB345126}">
          <xfpb:xfComplement i="0"/>
        </ext>
      </extLst>
    </xf>
    <xf numFmtId="0" fontId="0" fillId="0" borderId="3" xfId="0" applyNumberFormat="1" applyBorder="1" applyAlignment="1" applyProtection="1">
      <alignment horizontal="center" vertical="center" wrapText="1"/>
      <protection hidden="1"/>
      <extLst>
        <ext xmlns:xfpb="http://schemas.microsoft.com/office/spreadsheetml/2022/featurepropertybag" uri="{C7286773-470A-42A8-94C5-96B5CB345126}">
          <xfpb:xfComplement i="0"/>
        </ext>
      </extLst>
    </xf>
    <xf numFmtId="0" fontId="7" fillId="0" borderId="27" xfId="0" applyFont="1" applyBorder="1" applyAlignment="1">
      <alignment horizontal="right" vertical="center"/>
    </xf>
    <xf numFmtId="0" fontId="6" fillId="0" borderId="2" xfId="0" applyFont="1" applyBorder="1" applyAlignment="1">
      <alignment horizontal="center" vertical="center" wrapText="1"/>
    </xf>
    <xf numFmtId="0" fontId="6" fillId="0" borderId="0" xfId="0" applyFont="1" applyAlignment="1">
      <alignment horizontal="center"/>
    </xf>
    <xf numFmtId="0" fontId="2" fillId="0" borderId="6"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7"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2" fillId="0" borderId="9"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left" vertical="center" wrapText="1"/>
    </xf>
    <xf numFmtId="0" fontId="2" fillId="0" borderId="1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5" xfId="0" applyFont="1" applyBorder="1" applyAlignment="1">
      <alignment horizontal="center" vertical="center" wrapText="1"/>
    </xf>
    <xf numFmtId="0" fontId="0" fillId="0" borderId="0" xfId="0" applyAlignment="1">
      <alignment horizontal="center" wrapText="1"/>
    </xf>
    <xf numFmtId="0" fontId="10" fillId="0" borderId="0" xfId="0" applyFont="1" applyAlignment="1">
      <alignment horizontal="left" wrapText="1"/>
    </xf>
    <xf numFmtId="0" fontId="9" fillId="0" borderId="0" xfId="0" applyFont="1" applyAlignment="1">
      <alignment horizontal="center"/>
    </xf>
    <xf numFmtId="0" fontId="11" fillId="2" borderId="21"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6" xfId="0" applyFont="1" applyBorder="1" applyAlignment="1">
      <alignment horizontal="center" vertical="center"/>
    </xf>
    <xf numFmtId="0" fontId="7" fillId="0" borderId="17" xfId="0" applyFont="1" applyBorder="1" applyAlignment="1">
      <alignment horizontal="center" vertical="center"/>
    </xf>
    <xf numFmtId="0" fontId="7" fillId="0" borderId="23" xfId="0" applyFont="1" applyBorder="1" applyAlignment="1">
      <alignment horizontal="center" vertical="center"/>
    </xf>
    <xf numFmtId="0" fontId="7" fillId="0" borderId="18" xfId="0" applyFont="1" applyBorder="1" applyAlignment="1">
      <alignment horizontal="center" vertical="center"/>
    </xf>
    <xf numFmtId="0" fontId="0" fillId="0" borderId="27" xfId="0" applyBorder="1" applyAlignment="1"/>
    <xf numFmtId="0" fontId="11" fillId="3" borderId="2" xfId="0" applyFont="1" applyFill="1" applyBorder="1" applyAlignment="1">
      <alignment horizontal="center" vertical="center" wrapText="1"/>
    </xf>
    <xf numFmtId="0" fontId="12" fillId="3" borderId="2"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6" fillId="0" borderId="6" xfId="0" applyFont="1" applyBorder="1" applyAlignment="1">
      <alignment horizontal="center" vertical="top" wrapText="1"/>
    </xf>
    <xf numFmtId="0" fontId="6" fillId="0" borderId="24" xfId="0" applyFont="1" applyBorder="1" applyAlignment="1">
      <alignment horizontal="center" vertical="top" wrapText="1"/>
    </xf>
    <xf numFmtId="0" fontId="6" fillId="0" borderId="10" xfId="0" applyFont="1" applyBorder="1" applyAlignment="1">
      <alignment horizontal="center" vertical="top" wrapText="1"/>
    </xf>
    <xf numFmtId="0" fontId="0" fillId="0" borderId="0" xfId="0" applyAlignment="1">
      <alignment horizontal="center"/>
    </xf>
    <xf numFmtId="0" fontId="11" fillId="4" borderId="2" xfId="0" applyFont="1" applyFill="1" applyBorder="1" applyAlignment="1">
      <alignment horizontal="center" vertical="center" wrapText="1"/>
    </xf>
    <xf numFmtId="0" fontId="12" fillId="4" borderId="2" xfId="0" applyFont="1" applyFill="1" applyBorder="1" applyAlignment="1">
      <alignment horizontal="center" vertical="center"/>
    </xf>
    <xf numFmtId="0" fontId="11"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1" fillId="6" borderId="2" xfId="0" applyFont="1" applyFill="1" applyBorder="1" applyAlignment="1">
      <alignment horizontal="center" vertical="center" wrapText="1"/>
    </xf>
    <xf numFmtId="0" fontId="12" fillId="6" borderId="2" xfId="0" applyFont="1" applyFill="1" applyBorder="1" applyAlignment="1">
      <alignment horizontal="center" vertical="center"/>
    </xf>
    <xf numFmtId="0" fontId="0" fillId="0" borderId="25" xfId="0" applyBorder="1" applyAlignment="1">
      <alignment horizontal="center"/>
    </xf>
    <xf numFmtId="0" fontId="10" fillId="0" borderId="0" xfId="0" applyFont="1" applyAlignment="1" applyProtection="1">
      <alignment horizontal="left" vertical="center" wrapText="1"/>
      <protection locked="0"/>
    </xf>
    <xf numFmtId="0" fontId="0" fillId="0" borderId="0" xfId="0" applyAlignment="1" applyProtection="1">
      <alignment horizontal="left" vertical="center"/>
      <protection locked="0"/>
    </xf>
    <xf numFmtId="0" fontId="0" fillId="3" borderId="27" xfId="0" applyFill="1" applyBorder="1" applyAlignment="1" applyProtection="1">
      <alignment horizontal="center" vertical="center" wrapText="1"/>
      <protection hidden="1"/>
    </xf>
    <xf numFmtId="0" fontId="7" fillId="0" borderId="27" xfId="0" applyFont="1" applyBorder="1" applyAlignment="1">
      <alignment horizontal="right" vertical="center"/>
    </xf>
    <xf numFmtId="0" fontId="8" fillId="0" borderId="0" xfId="0" applyFont="1" applyAlignment="1">
      <alignment horizontal="center"/>
    </xf>
    <xf numFmtId="0" fontId="10" fillId="0" borderId="0" xfId="0" applyFont="1" applyAlignment="1">
      <alignment horizontal="left" vertical="center" wrapText="1"/>
    </xf>
    <xf numFmtId="0" fontId="7" fillId="0" borderId="21" xfId="0" applyFont="1" applyBorder="1" applyAlignment="1">
      <alignment horizontal="center" vertical="center" wrapText="1"/>
    </xf>
    <xf numFmtId="0" fontId="7" fillId="0" borderId="26" xfId="0" applyFont="1" applyBorder="1" applyAlignment="1">
      <alignment horizontal="center" vertical="center" wrapText="1"/>
    </xf>
    <xf numFmtId="0" fontId="7" fillId="2" borderId="27" xfId="0" applyFont="1" applyFill="1" applyBorder="1" applyAlignment="1" applyProtection="1">
      <alignment horizontal="center"/>
      <protection hidden="1"/>
    </xf>
    <xf numFmtId="0" fontId="6" fillId="4" borderId="27" xfId="0" applyFont="1" applyFill="1" applyBorder="1" applyAlignment="1" applyProtection="1">
      <alignment horizontal="center"/>
      <protection hidden="1"/>
    </xf>
    <xf numFmtId="0" fontId="6" fillId="0" borderId="2" xfId="0" applyFont="1" applyBorder="1" applyAlignment="1">
      <alignment horizontal="center" vertical="center" wrapText="1"/>
    </xf>
    <xf numFmtId="0" fontId="0" fillId="0" borderId="1" xfId="0" applyBorder="1" applyAlignment="1">
      <alignment horizontal="center"/>
    </xf>
    <xf numFmtId="0" fontId="6" fillId="0" borderId="0" xfId="0" applyFont="1" applyAlignment="1">
      <alignment horizontal="left"/>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8B076-D0EC-5646-94A8-2929D063D6AF}">
  <sheetPr codeName="Sheet1"/>
  <dimension ref="A1:C1503"/>
  <sheetViews>
    <sheetView tabSelected="1" view="pageBreakPreview" zoomScale="86" zoomScaleNormal="110" workbookViewId="0">
      <selection activeCell="C10" sqref="C10:C11"/>
    </sheetView>
  </sheetViews>
  <sheetFormatPr defaultColWidth="11.125" defaultRowHeight="15.6"/>
  <cols>
    <col min="1" max="1" width="9.5" style="1" customWidth="1"/>
    <col min="2" max="2" width="30.25" style="1" customWidth="1"/>
    <col min="3" max="3" width="48.5" style="1" customWidth="1"/>
    <col min="4" max="4" width="2" customWidth="1"/>
  </cols>
  <sheetData>
    <row r="1" spans="1:3">
      <c r="A1" s="45" t="s">
        <v>0</v>
      </c>
      <c r="B1" s="46"/>
      <c r="C1" s="46"/>
    </row>
    <row r="2" spans="1:3">
      <c r="A2" s="46"/>
      <c r="B2" s="46"/>
      <c r="C2" s="46"/>
    </row>
    <row r="3" spans="1:3">
      <c r="A3" s="46"/>
      <c r="B3" s="46"/>
      <c r="C3" s="46"/>
    </row>
    <row r="4" spans="1:3" ht="26.1" customHeight="1">
      <c r="A4" s="41" t="s">
        <v>1</v>
      </c>
      <c r="B4" s="41"/>
      <c r="C4" s="41"/>
    </row>
    <row r="5" spans="1:3" ht="9.9499999999999993" customHeight="1">
      <c r="A5" s="51"/>
      <c r="B5" s="51"/>
      <c r="C5" s="51"/>
    </row>
    <row r="6" spans="1:3" ht="84.95" customHeight="1">
      <c r="A6" s="47" t="s">
        <v>2</v>
      </c>
      <c r="B6" s="47"/>
      <c r="C6" s="47"/>
    </row>
    <row r="8" spans="1:3" ht="32.1" customHeight="1">
      <c r="A8" s="40" t="s">
        <v>3</v>
      </c>
      <c r="B8" s="40"/>
      <c r="C8" s="40"/>
    </row>
    <row r="9" spans="1:3">
      <c r="A9" s="7" t="s">
        <v>4</v>
      </c>
      <c r="B9" s="8" t="s">
        <v>5</v>
      </c>
      <c r="C9" s="6" t="s">
        <v>6</v>
      </c>
    </row>
    <row r="10" spans="1:3" ht="33.950000000000003" customHeight="1">
      <c r="A10" s="42">
        <v>1</v>
      </c>
      <c r="B10" s="43" t="s">
        <v>7</v>
      </c>
      <c r="C10" s="34" t="s">
        <v>8</v>
      </c>
    </row>
    <row r="11" spans="1:3">
      <c r="A11" s="39"/>
      <c r="B11" s="44"/>
      <c r="C11" s="35"/>
    </row>
    <row r="12" spans="1:3" ht="33" customHeight="1">
      <c r="A12" s="48">
        <v>2</v>
      </c>
      <c r="B12" s="50" t="s">
        <v>9</v>
      </c>
      <c r="C12" s="34" t="s">
        <v>10</v>
      </c>
    </row>
    <row r="13" spans="1:3" ht="15" customHeight="1">
      <c r="A13" s="49"/>
      <c r="B13" s="44"/>
      <c r="C13" s="35"/>
    </row>
    <row r="14" spans="1:3" ht="33.950000000000003" customHeight="1">
      <c r="A14" s="42">
        <v>3</v>
      </c>
      <c r="B14" s="43" t="s">
        <v>11</v>
      </c>
      <c r="C14" s="34" t="s">
        <v>12</v>
      </c>
    </row>
    <row r="15" spans="1:3" ht="6.95" customHeight="1">
      <c r="A15" s="39"/>
      <c r="B15" s="44"/>
      <c r="C15" s="35"/>
    </row>
    <row r="16" spans="1:3" ht="33.950000000000003" customHeight="1">
      <c r="A16" s="36">
        <v>4</v>
      </c>
      <c r="B16" s="38" t="s">
        <v>13</v>
      </c>
      <c r="C16" s="34" t="s">
        <v>14</v>
      </c>
    </row>
    <row r="17" spans="1:3" ht="18" customHeight="1">
      <c r="A17" s="37"/>
      <c r="B17" s="39"/>
      <c r="C17" s="35"/>
    </row>
    <row r="18" spans="1:3" ht="9.9499999999999993" customHeight="1">
      <c r="A18" s="3"/>
      <c r="B18" s="4"/>
      <c r="C18" s="5"/>
    </row>
    <row r="1500" spans="1:3" s="13" customFormat="1">
      <c r="A1500" s="11"/>
      <c r="B1500" s="12" t="s">
        <v>15</v>
      </c>
      <c r="C1500" s="11"/>
    </row>
    <row r="1501" spans="1:3" s="13" customFormat="1">
      <c r="A1501" s="11"/>
      <c r="B1501" s="12" t="s">
        <v>16</v>
      </c>
      <c r="C1501" s="11"/>
    </row>
    <row r="1502" spans="1:3" s="13" customFormat="1">
      <c r="A1502" s="11"/>
      <c r="B1502" s="12" t="s">
        <v>17</v>
      </c>
      <c r="C1502" s="11"/>
    </row>
    <row r="1503" spans="1:3" s="13" customFormat="1">
      <c r="A1503" s="11"/>
      <c r="B1503" s="12" t="s">
        <v>18</v>
      </c>
      <c r="C1503" s="11"/>
    </row>
  </sheetData>
  <sheetProtection algorithmName="SHA-512" hashValue="KgLnpUbYPYSASrOlmweqjVSH/+QD7Tj9ebl682OwM1XZeH+0wa8tStl6OTwis91CIXMyKtRUqzQUJAXco/Fk+Q==" saltValue="s34vGLEfC1/9do3KqIK28A==" spinCount="100000" sheet="1" objects="1" scenarios="1"/>
  <mergeCells count="17">
    <mergeCell ref="A1:C3"/>
    <mergeCell ref="A6:C6"/>
    <mergeCell ref="A10:A11"/>
    <mergeCell ref="B10:B11"/>
    <mergeCell ref="A12:A13"/>
    <mergeCell ref="B12:B13"/>
    <mergeCell ref="A5:C5"/>
    <mergeCell ref="C10:C11"/>
    <mergeCell ref="C12:C13"/>
    <mergeCell ref="C16:C17"/>
    <mergeCell ref="A16:A17"/>
    <mergeCell ref="B16:B17"/>
    <mergeCell ref="A8:C8"/>
    <mergeCell ref="A4:C4"/>
    <mergeCell ref="A14:A15"/>
    <mergeCell ref="B14:B15"/>
    <mergeCell ref="C14:C15"/>
  </mergeCells>
  <pageMargins left="0.7" right="0.7" top="0.75" bottom="0.75" header="0.3" footer="0.3"/>
  <pageSetup scale="85"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7506-3953-2A4B-BFFD-11D82EF67758}">
  <sheetPr codeName="Sheet2"/>
  <dimension ref="A1:I29"/>
  <sheetViews>
    <sheetView view="pageBreakPreview" topLeftCell="A7" zoomScale="49" zoomScaleNormal="100" zoomScaleSheetLayoutView="75" workbookViewId="0">
      <selection activeCell="D16" sqref="D16"/>
    </sheetView>
  </sheetViews>
  <sheetFormatPr defaultColWidth="11.125" defaultRowHeight="15.6"/>
  <cols>
    <col min="1" max="1" width="20" customWidth="1"/>
    <col min="2" max="2" width="38.75" customWidth="1"/>
    <col min="3" max="3" width="64.25" style="15" customWidth="1"/>
    <col min="4" max="6" width="14.25" style="9" customWidth="1"/>
    <col min="7" max="7" width="15.75" style="9" customWidth="1"/>
  </cols>
  <sheetData>
    <row r="1" spans="1:9" ht="30">
      <c r="A1" s="53" t="s">
        <v>0</v>
      </c>
      <c r="B1" s="53"/>
      <c r="C1" s="53"/>
      <c r="D1" s="53"/>
      <c r="E1" s="53"/>
      <c r="F1" s="53"/>
      <c r="G1" s="53"/>
    </row>
    <row r="2" spans="1:9" ht="14.1" customHeight="1">
      <c r="A2" s="2"/>
    </row>
    <row r="3" spans="1:9" ht="18">
      <c r="A3" s="25" t="s">
        <v>19</v>
      </c>
      <c r="B3" s="66"/>
      <c r="C3" s="66"/>
      <c r="D3" s="66"/>
      <c r="E3" s="66"/>
      <c r="F3" s="66"/>
      <c r="G3" s="66"/>
    </row>
    <row r="4" spans="1:9" ht="18">
      <c r="A4" s="26" t="s">
        <v>20</v>
      </c>
      <c r="B4" s="66"/>
      <c r="C4" s="66"/>
      <c r="D4" s="66"/>
      <c r="E4" s="66"/>
      <c r="F4" s="66"/>
      <c r="G4" s="66"/>
    </row>
    <row r="5" spans="1:9">
      <c r="A5" s="33"/>
    </row>
    <row r="6" spans="1:9" ht="258" customHeight="1">
      <c r="A6" s="52" t="s">
        <v>21</v>
      </c>
      <c r="B6" s="52"/>
      <c r="C6" s="52"/>
      <c r="D6" s="52"/>
      <c r="E6" s="52"/>
      <c r="F6" s="52"/>
      <c r="G6" s="52"/>
    </row>
    <row r="8" spans="1:9" ht="18.95" customHeight="1">
      <c r="A8" s="60" t="s">
        <v>22</v>
      </c>
      <c r="B8" s="61"/>
      <c r="C8" s="71" t="s">
        <v>23</v>
      </c>
      <c r="D8" s="69" t="s">
        <v>24</v>
      </c>
      <c r="E8" s="69"/>
      <c r="F8" s="69"/>
      <c r="G8" s="70"/>
    </row>
    <row r="9" spans="1:9" ht="18.95" customHeight="1">
      <c r="A9" s="62"/>
      <c r="B9" s="63"/>
      <c r="C9" s="72"/>
      <c r="D9" s="32">
        <v>1</v>
      </c>
      <c r="E9" s="32">
        <v>2</v>
      </c>
      <c r="F9" s="32">
        <v>3</v>
      </c>
      <c r="G9" s="14">
        <v>4</v>
      </c>
    </row>
    <row r="10" spans="1:9" ht="36.950000000000003" customHeight="1">
      <c r="A10" s="64"/>
      <c r="B10" s="65"/>
      <c r="C10" s="73"/>
      <c r="D10" s="32" t="s">
        <v>7</v>
      </c>
      <c r="E10" s="32" t="s">
        <v>9</v>
      </c>
      <c r="F10" s="32" t="s">
        <v>11</v>
      </c>
      <c r="G10" s="14" t="s">
        <v>13</v>
      </c>
    </row>
    <row r="11" spans="1:9" ht="57.95" customHeight="1">
      <c r="A11" s="54" t="s">
        <v>25</v>
      </c>
      <c r="B11" s="55"/>
      <c r="C11" s="16" t="s">
        <v>26</v>
      </c>
      <c r="D11" s="29" t="b">
        <v>0</v>
      </c>
      <c r="E11" s="29" t="b">
        <v>0</v>
      </c>
      <c r="F11" s="29" t="b">
        <v>0</v>
      </c>
      <c r="G11" s="30" t="b">
        <v>0</v>
      </c>
      <c r="I11" s="28"/>
    </row>
    <row r="12" spans="1:9" ht="53.1" customHeight="1">
      <c r="A12" s="56"/>
      <c r="B12" s="57"/>
      <c r="C12" s="17" t="s">
        <v>27</v>
      </c>
      <c r="D12" s="29" t="b">
        <v>0</v>
      </c>
      <c r="E12" s="29" t="b">
        <v>0</v>
      </c>
      <c r="F12" s="29" t="b">
        <v>0</v>
      </c>
      <c r="G12" s="30" t="b">
        <v>0</v>
      </c>
    </row>
    <row r="13" spans="1:9" ht="53.1" customHeight="1">
      <c r="A13" s="56"/>
      <c r="B13" s="57"/>
      <c r="C13" s="17" t="s">
        <v>28</v>
      </c>
      <c r="D13" s="29" t="b">
        <v>0</v>
      </c>
      <c r="E13" s="29" t="b">
        <v>0</v>
      </c>
      <c r="F13" s="29" t="b">
        <v>0</v>
      </c>
      <c r="G13" s="30" t="b">
        <v>0</v>
      </c>
    </row>
    <row r="14" spans="1:9" ht="72.95" customHeight="1">
      <c r="A14" s="58"/>
      <c r="B14" s="59"/>
      <c r="C14" s="17" t="s">
        <v>29</v>
      </c>
      <c r="D14" s="29" t="b">
        <v>0</v>
      </c>
      <c r="E14" s="29" t="b">
        <v>0</v>
      </c>
      <c r="F14" s="29" t="b">
        <v>0</v>
      </c>
      <c r="G14" s="30" t="b">
        <v>0</v>
      </c>
    </row>
    <row r="15" spans="1:9" ht="51.95" customHeight="1">
      <c r="A15" s="67" t="s">
        <v>30</v>
      </c>
      <c r="B15" s="68"/>
      <c r="C15" s="16" t="s">
        <v>31</v>
      </c>
      <c r="D15" s="29" t="b">
        <v>0</v>
      </c>
      <c r="E15" s="29" t="b">
        <v>0</v>
      </c>
      <c r="F15" s="29" t="b">
        <v>0</v>
      </c>
      <c r="G15" s="30" t="b">
        <v>0</v>
      </c>
    </row>
    <row r="16" spans="1:9" ht="66.95" customHeight="1">
      <c r="A16" s="68"/>
      <c r="B16" s="68"/>
      <c r="C16" s="16" t="s">
        <v>32</v>
      </c>
      <c r="D16" s="29" t="b">
        <v>0</v>
      </c>
      <c r="E16" s="29" t="b">
        <v>0</v>
      </c>
      <c r="F16" s="29" t="b">
        <v>0</v>
      </c>
      <c r="G16" s="30" t="b">
        <v>0</v>
      </c>
    </row>
    <row r="17" spans="1:7" ht="50.1" customHeight="1">
      <c r="A17" s="68"/>
      <c r="B17" s="68"/>
      <c r="C17" s="16" t="s">
        <v>33</v>
      </c>
      <c r="D17" s="29" t="b">
        <v>0</v>
      </c>
      <c r="E17" s="29" t="b">
        <v>0</v>
      </c>
      <c r="F17" s="29" t="b">
        <v>0</v>
      </c>
      <c r="G17" s="30" t="b">
        <v>0</v>
      </c>
    </row>
    <row r="18" spans="1:7" ht="69.95" customHeight="1">
      <c r="A18" s="75" t="s">
        <v>34</v>
      </c>
      <c r="B18" s="76"/>
      <c r="C18" s="16" t="s">
        <v>35</v>
      </c>
      <c r="D18" s="29" t="b">
        <v>0</v>
      </c>
      <c r="E18" s="29" t="b">
        <v>0</v>
      </c>
      <c r="F18" s="29" t="b">
        <v>0</v>
      </c>
      <c r="G18" s="30" t="b">
        <v>0</v>
      </c>
    </row>
    <row r="19" spans="1:7" ht="72" customHeight="1">
      <c r="A19" s="76"/>
      <c r="B19" s="76"/>
      <c r="C19" s="16" t="s">
        <v>36</v>
      </c>
      <c r="D19" s="29" t="b">
        <v>0</v>
      </c>
      <c r="E19" s="29" t="b">
        <v>0</v>
      </c>
      <c r="F19" s="29" t="b">
        <v>0</v>
      </c>
      <c r="G19" s="30" t="b">
        <v>0</v>
      </c>
    </row>
    <row r="20" spans="1:7" ht="56.1" customHeight="1">
      <c r="A20" s="76"/>
      <c r="B20" s="76"/>
      <c r="C20" s="16" t="s">
        <v>37</v>
      </c>
      <c r="D20" s="29" t="b">
        <v>0</v>
      </c>
      <c r="E20" s="29" t="b">
        <v>0</v>
      </c>
      <c r="F20" s="29" t="b">
        <v>0</v>
      </c>
      <c r="G20" s="30" t="b">
        <v>0</v>
      </c>
    </row>
    <row r="21" spans="1:7" ht="87" customHeight="1">
      <c r="A21" s="77" t="s">
        <v>38</v>
      </c>
      <c r="B21" s="78"/>
      <c r="C21" s="16" t="s">
        <v>39</v>
      </c>
      <c r="D21" s="29" t="b">
        <v>0</v>
      </c>
      <c r="E21" s="29" t="b">
        <v>0</v>
      </c>
      <c r="F21" s="29" t="b">
        <v>0</v>
      </c>
      <c r="G21" s="30" t="b">
        <v>0</v>
      </c>
    </row>
    <row r="22" spans="1:7" ht="53.1" customHeight="1">
      <c r="A22" s="78"/>
      <c r="B22" s="78"/>
      <c r="C22" s="16" t="s">
        <v>40</v>
      </c>
      <c r="D22" s="29" t="b">
        <v>0</v>
      </c>
      <c r="E22" s="29" t="b">
        <v>0</v>
      </c>
      <c r="F22" s="29" t="b">
        <v>0</v>
      </c>
      <c r="G22" s="30" t="b">
        <v>0</v>
      </c>
    </row>
    <row r="23" spans="1:7" ht="54" customHeight="1">
      <c r="A23" s="78"/>
      <c r="B23" s="78"/>
      <c r="C23" s="16" t="s">
        <v>41</v>
      </c>
      <c r="D23" s="29" t="b">
        <v>0</v>
      </c>
      <c r="E23" s="29" t="b">
        <v>0</v>
      </c>
      <c r="F23" s="29" t="b">
        <v>0</v>
      </c>
      <c r="G23" s="30" t="b">
        <v>0</v>
      </c>
    </row>
    <row r="24" spans="1:7" ht="53.1" customHeight="1">
      <c r="A24" s="79" t="s">
        <v>42</v>
      </c>
      <c r="B24" s="80"/>
      <c r="C24" s="16" t="s">
        <v>43</v>
      </c>
      <c r="D24" s="29" t="b">
        <v>0</v>
      </c>
      <c r="E24" s="29" t="b">
        <v>0</v>
      </c>
      <c r="F24" s="29" t="b">
        <v>0</v>
      </c>
      <c r="G24" s="30" t="b">
        <v>0</v>
      </c>
    </row>
    <row r="25" spans="1:7" ht="66.95" customHeight="1">
      <c r="A25" s="80"/>
      <c r="B25" s="80"/>
      <c r="C25" s="16" t="s">
        <v>44</v>
      </c>
      <c r="D25" s="29" t="b">
        <v>0</v>
      </c>
      <c r="E25" s="29" t="b">
        <v>0</v>
      </c>
      <c r="F25" s="29" t="b">
        <v>0</v>
      </c>
      <c r="G25" s="30" t="b">
        <v>0</v>
      </c>
    </row>
    <row r="26" spans="1:7" ht="66" customHeight="1">
      <c r="A26" s="80"/>
      <c r="B26" s="80"/>
      <c r="C26" s="16" t="s">
        <v>45</v>
      </c>
      <c r="D26" s="29" t="b">
        <v>0</v>
      </c>
      <c r="E26" s="29" t="b">
        <v>0</v>
      </c>
      <c r="F26" s="29" t="b">
        <v>0</v>
      </c>
      <c r="G26" s="30" t="b">
        <v>0</v>
      </c>
    </row>
    <row r="27" spans="1:7">
      <c r="A27" s="81"/>
      <c r="B27" s="81"/>
      <c r="C27" s="81"/>
      <c r="D27" s="81"/>
      <c r="E27" s="81"/>
      <c r="F27" s="81"/>
      <c r="G27" s="81"/>
    </row>
    <row r="28" spans="1:7" ht="123" customHeight="1">
      <c r="A28" s="82" t="s">
        <v>46</v>
      </c>
      <c r="B28" s="83"/>
      <c r="C28" s="83"/>
      <c r="D28" s="83"/>
      <c r="E28" s="83"/>
      <c r="F28" s="83"/>
      <c r="G28" s="83"/>
    </row>
    <row r="29" spans="1:7">
      <c r="A29" s="74"/>
      <c r="B29" s="74"/>
      <c r="C29" s="74"/>
      <c r="D29" s="74"/>
      <c r="E29" s="74"/>
      <c r="F29" s="74"/>
      <c r="G29" s="74"/>
    </row>
  </sheetData>
  <dataConsolidate/>
  <mergeCells count="15">
    <mergeCell ref="A15:B17"/>
    <mergeCell ref="D8:G8"/>
    <mergeCell ref="C8:C10"/>
    <mergeCell ref="A29:G29"/>
    <mergeCell ref="A18:B20"/>
    <mergeCell ref="A21:B23"/>
    <mergeCell ref="A24:B26"/>
    <mergeCell ref="A27:G27"/>
    <mergeCell ref="A28:G28"/>
    <mergeCell ref="A6:G6"/>
    <mergeCell ref="A1:G1"/>
    <mergeCell ref="A11:B14"/>
    <mergeCell ref="A8:B10"/>
    <mergeCell ref="B3:G3"/>
    <mergeCell ref="B4:G4"/>
  </mergeCells>
  <pageMargins left="0.7" right="0.7" top="0.75" bottom="0.75" header="0.3" footer="0.3"/>
  <pageSetup scale="35"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2BD6-1337-8D46-9C52-42F54B2E96EB}">
  <sheetPr codeName="Sheet3"/>
  <dimension ref="A1:E28"/>
  <sheetViews>
    <sheetView view="pageBreakPreview" topLeftCell="A11" zoomScale="116" zoomScaleNormal="100" workbookViewId="0">
      <selection activeCell="A2" sqref="A1:E1048576"/>
    </sheetView>
  </sheetViews>
  <sheetFormatPr defaultColWidth="11.125" defaultRowHeight="15.6"/>
  <cols>
    <col min="1" max="1" width="27.75" customWidth="1"/>
    <col min="2" max="2" width="14.25" customWidth="1"/>
    <col min="3" max="3" width="13.75" customWidth="1"/>
    <col min="4" max="4" width="13.125" customWidth="1"/>
    <col min="5" max="5" width="17.875" customWidth="1"/>
  </cols>
  <sheetData>
    <row r="1" spans="1:5" ht="23.1">
      <c r="A1" s="86" t="s">
        <v>47</v>
      </c>
      <c r="B1" s="86"/>
      <c r="C1" s="86"/>
      <c r="D1" s="86"/>
      <c r="E1" s="86"/>
    </row>
    <row r="2" spans="1:5">
      <c r="A2" s="33" t="s">
        <v>19</v>
      </c>
      <c r="B2" s="94">
        <f>STATS!B3</f>
        <v>0</v>
      </c>
      <c r="C2" s="94"/>
      <c r="D2" s="94"/>
      <c r="E2" s="94"/>
    </row>
    <row r="3" spans="1:5">
      <c r="A3" s="33" t="s">
        <v>20</v>
      </c>
      <c r="B3" s="94">
        <f>STATS!B4</f>
        <v>0</v>
      </c>
      <c r="C3" s="94"/>
      <c r="D3" s="94"/>
      <c r="E3" s="94"/>
    </row>
    <row r="4" spans="1:5" ht="8.1" customHeight="1">
      <c r="A4" s="95"/>
      <c r="B4" s="95"/>
      <c r="C4" s="95"/>
      <c r="D4" s="95"/>
      <c r="E4" s="95"/>
    </row>
    <row r="5" spans="1:5" ht="93.95" customHeight="1">
      <c r="A5" s="87" t="s">
        <v>48</v>
      </c>
      <c r="B5" s="87"/>
      <c r="C5" s="87"/>
      <c r="D5" s="87"/>
      <c r="E5" s="87"/>
    </row>
    <row r="6" spans="1:5" ht="8.1" customHeight="1">
      <c r="A6" s="93"/>
      <c r="B6" s="93"/>
      <c r="C6" s="93"/>
      <c r="D6" s="93"/>
      <c r="E6" s="93"/>
    </row>
    <row r="7" spans="1:5" ht="15.95" customHeight="1">
      <c r="A7" s="88" t="s">
        <v>49</v>
      </c>
      <c r="B7" s="92" t="s">
        <v>50</v>
      </c>
      <c r="C7" s="92"/>
      <c r="D7" s="92"/>
      <c r="E7" s="92"/>
    </row>
    <row r="8" spans="1:5" ht="15.95" customHeight="1">
      <c r="A8" s="89"/>
      <c r="B8" s="32">
        <v>1</v>
      </c>
      <c r="C8" s="32">
        <v>2</v>
      </c>
      <c r="D8" s="32">
        <v>3</v>
      </c>
      <c r="E8" s="32">
        <v>4</v>
      </c>
    </row>
    <row r="9" spans="1:5" ht="30.95" customHeight="1">
      <c r="A9" s="18" t="s">
        <v>51</v>
      </c>
      <c r="B9" s="10">
        <f>COUNTIF(STATS!D11:D14, TRUE)</f>
        <v>0</v>
      </c>
      <c r="C9" s="10">
        <f>COUNTIF(STATS!E11:E14, TRUE)</f>
        <v>0</v>
      </c>
      <c r="D9" s="10">
        <f>COUNTIF(STATS!F11:F14, TRUE)</f>
        <v>0</v>
      </c>
      <c r="E9" s="10">
        <f>COUNTIF(STATS!G11:G14, TRUE)</f>
        <v>0</v>
      </c>
    </row>
    <row r="10" spans="1:5" ht="23.1" customHeight="1">
      <c r="A10" s="19" t="s">
        <v>52</v>
      </c>
      <c r="B10" s="10">
        <f>COUNTIF(STATS!D15:D17, TRUE)</f>
        <v>0</v>
      </c>
      <c r="C10" s="10">
        <f>COUNTIF(STATS!E15:E17, TRUE)</f>
        <v>0</v>
      </c>
      <c r="D10" s="10">
        <f>COUNTIF(STATS!F15:F17, TRUE)</f>
        <v>0</v>
      </c>
      <c r="E10" s="10">
        <f>COUNTIF(STATS!G15:G17, TRUE)</f>
        <v>0</v>
      </c>
    </row>
    <row r="11" spans="1:5" ht="36.950000000000003" customHeight="1">
      <c r="A11" s="20" t="s">
        <v>53</v>
      </c>
      <c r="B11" s="10">
        <f>COUNTIF(STATS!D18:D20, TRUE)</f>
        <v>0</v>
      </c>
      <c r="C11" s="10">
        <f>COUNTIF(STATS!E18:E20, TRUE)</f>
        <v>0</v>
      </c>
      <c r="D11" s="10">
        <f>COUNTIF(STATS!F18:F20, TRUE)</f>
        <v>0</v>
      </c>
      <c r="E11" s="10">
        <f>COUNTIF(STATS!G18:G20, TRUE)</f>
        <v>0</v>
      </c>
    </row>
    <row r="12" spans="1:5" ht="32.1" customHeight="1">
      <c r="A12" s="21" t="s">
        <v>54</v>
      </c>
      <c r="B12" s="10">
        <f>COUNTIF(STATS!D21:D23, TRUE)</f>
        <v>0</v>
      </c>
      <c r="C12" s="10">
        <f>COUNTIF(STATS!E21:E23, TRUE)</f>
        <v>0</v>
      </c>
      <c r="D12" s="10">
        <f>COUNTIF(STATS!F21:F23, TRUE)</f>
        <v>0</v>
      </c>
      <c r="E12" s="10">
        <f>COUNTIF(STATS!G21:G23, TRUE)</f>
        <v>0</v>
      </c>
    </row>
    <row r="13" spans="1:5" ht="24" customHeight="1">
      <c r="A13" s="22" t="s">
        <v>55</v>
      </c>
      <c r="B13" s="24">
        <f>COUNTIF(STATS!D24:D26, TRUE)</f>
        <v>0</v>
      </c>
      <c r="C13" s="24">
        <f>COUNTIF(STATS!E24:E26, TRUE)</f>
        <v>0</v>
      </c>
      <c r="D13" s="24">
        <f>COUNTIF(STATS!F24:F26, TRUE)</f>
        <v>0</v>
      </c>
      <c r="E13" s="24">
        <f>COUNTIF(STATS!G24:G26, TRUE)</f>
        <v>0</v>
      </c>
    </row>
    <row r="14" spans="1:5" ht="18">
      <c r="A14" s="27" t="s">
        <v>56</v>
      </c>
      <c r="B14" s="23">
        <f>SUM(B9:B13)</f>
        <v>0</v>
      </c>
      <c r="C14" s="23">
        <f t="shared" ref="C14:E14" si="0">SUM(C9:C13)</f>
        <v>0</v>
      </c>
      <c r="D14" s="23">
        <f t="shared" si="0"/>
        <v>0</v>
      </c>
      <c r="E14" s="23">
        <f t="shared" si="0"/>
        <v>0</v>
      </c>
    </row>
    <row r="15" spans="1:5" ht="18">
      <c r="A15" s="31" t="s">
        <v>57</v>
      </c>
      <c r="B15" s="23">
        <f>B14*$B$8</f>
        <v>0</v>
      </c>
      <c r="C15" s="23">
        <f>C14*$C$8</f>
        <v>0</v>
      </c>
      <c r="D15" s="23">
        <f>D14*$D$8</f>
        <v>0</v>
      </c>
      <c r="E15" s="23">
        <f>E14*$E$8</f>
        <v>0</v>
      </c>
    </row>
    <row r="16" spans="1:5" ht="18">
      <c r="A16" s="31" t="s">
        <v>58</v>
      </c>
      <c r="B16" s="90">
        <f>SUM(B15:E15)</f>
        <v>0</v>
      </c>
      <c r="C16" s="90"/>
      <c r="D16" s="90"/>
      <c r="E16" s="90"/>
    </row>
    <row r="17" spans="1:5" ht="18">
      <c r="A17" s="31" t="s">
        <v>59</v>
      </c>
      <c r="B17" s="91" t="str">
        <f>IF(B16=0, " ", IF(B16&lt;=24, "Exploring ", IF(B16&lt;=40, "Emerging", IF(B16&lt;=56, "Consolidating", IF(B16&gt;=57, "Building")))))</f>
        <v xml:space="preserve"> </v>
      </c>
      <c r="C17" s="91"/>
      <c r="D17" s="91"/>
      <c r="E17" s="91"/>
    </row>
    <row r="18" spans="1:5">
      <c r="A18" s="85" t="s">
        <v>6</v>
      </c>
      <c r="B18" s="84" t="str">
        <f>IF(B17=" "," ",IF(B17="Exploring",Introduction!B1500,IF(B17="Emerging",Introduction!B1501,IF(B17="Consolidating",Introduction!B1502,IF(B17="Building",Introduction!B1503)))))</f>
        <v xml:space="preserve"> </v>
      </c>
      <c r="C18" s="84"/>
      <c r="D18" s="84"/>
      <c r="E18" s="84"/>
    </row>
    <row r="19" spans="1:5">
      <c r="A19" s="85"/>
      <c r="B19" s="84"/>
      <c r="C19" s="84"/>
      <c r="D19" s="84"/>
      <c r="E19" s="84"/>
    </row>
    <row r="20" spans="1:5">
      <c r="A20" s="85"/>
      <c r="B20" s="84"/>
      <c r="C20" s="84"/>
      <c r="D20" s="84"/>
      <c r="E20" s="84"/>
    </row>
    <row r="21" spans="1:5">
      <c r="A21" s="85"/>
      <c r="B21" s="84"/>
      <c r="C21" s="84"/>
      <c r="D21" s="84"/>
      <c r="E21" s="84"/>
    </row>
    <row r="22" spans="1:5">
      <c r="A22" s="85"/>
      <c r="B22" s="84"/>
      <c r="C22" s="84"/>
      <c r="D22" s="84"/>
      <c r="E22" s="84"/>
    </row>
    <row r="23" spans="1:5">
      <c r="A23" s="85"/>
      <c r="B23" s="84"/>
      <c r="C23" s="84"/>
      <c r="D23" s="84"/>
      <c r="E23" s="84"/>
    </row>
    <row r="24" spans="1:5">
      <c r="A24" s="85"/>
      <c r="B24" s="84"/>
      <c r="C24" s="84"/>
      <c r="D24" s="84"/>
      <c r="E24" s="84"/>
    </row>
    <row r="25" spans="1:5">
      <c r="A25" s="85"/>
      <c r="B25" s="84"/>
      <c r="C25" s="84"/>
      <c r="D25" s="84"/>
      <c r="E25" s="84"/>
    </row>
    <row r="26" spans="1:5">
      <c r="A26" s="85"/>
      <c r="B26" s="84"/>
      <c r="C26" s="84"/>
      <c r="D26" s="84"/>
      <c r="E26" s="84"/>
    </row>
    <row r="27" spans="1:5">
      <c r="A27" s="85"/>
      <c r="B27" s="84"/>
      <c r="C27" s="84"/>
      <c r="D27" s="84"/>
      <c r="E27" s="84"/>
    </row>
    <row r="28" spans="1:5">
      <c r="A28" s="85"/>
      <c r="B28" s="84"/>
      <c r="C28" s="84"/>
      <c r="D28" s="84"/>
      <c r="E28" s="84"/>
    </row>
  </sheetData>
  <sheetProtection algorithmName="SHA-512" hashValue="WpJ9ZOs00o82nzk90iYNCcoGgEc9uo2UPvMGfBW4WKmUP8i2MpRwhSqJMgSnFEFtRjU9j73gemsn/x7oYhCPNQ==" saltValue="R5GAymoAr/h8PBlyc0BdDA==" spinCount="100000" sheet="1" objects="1" scenarios="1" selectLockedCells="1" selectUnlockedCells="1"/>
  <mergeCells count="12">
    <mergeCell ref="B18:E28"/>
    <mergeCell ref="A18:A28"/>
    <mergeCell ref="A1:E1"/>
    <mergeCell ref="A5:E5"/>
    <mergeCell ref="A7:A8"/>
    <mergeCell ref="B16:E16"/>
    <mergeCell ref="B17:E17"/>
    <mergeCell ref="B7:E7"/>
    <mergeCell ref="A6:E6"/>
    <mergeCell ref="B2:E2"/>
    <mergeCell ref="B3:E3"/>
    <mergeCell ref="A4:E4"/>
  </mergeCells>
  <pageMargins left="0.7" right="0.7" top="0.75" bottom="0.75" header="0.3" footer="0.3"/>
  <pageSetup scale="8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Anapi</dc:creator>
  <cp:keywords/>
  <dc:description/>
  <cp:lastModifiedBy>jim christopher persia</cp:lastModifiedBy>
  <cp:revision/>
  <dcterms:created xsi:type="dcterms:W3CDTF">2025-05-12T22:00:21Z</dcterms:created>
  <dcterms:modified xsi:type="dcterms:W3CDTF">2025-11-11T06:23:55Z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2025-05-12T22:36:52Z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1356cf04-3d29-40dd-8df8-c5ae46d64310</vt:lpwstr>
  </property>
  <property fmtid="{D5CDD505-2E9C-101B-9397-08002B2CF9AE}" pid="7" name="MSIP_Label_defa4170-0d19-0005-0004-bc88714345d2_ActionId">
    <vt:lpwstr>026a3a69-38cd-4639-a1f9-4dc8d580a6f7</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